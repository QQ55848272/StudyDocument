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76247314\Desktop\"/>
    </mc:Choice>
  </mc:AlternateContent>
  <bookViews>
    <workbookView xWindow="240" yWindow="110" windowWidth="14810" windowHeight="8010"/>
  </bookViews>
  <sheets>
    <sheet name="Sheet1" sheetId="1" r:id="rId1"/>
  </sheets>
  <definedNames>
    <definedName name="_xlnm._FilterDatabase" localSheetId="0" hidden="1">Sheet1!$1:$1</definedName>
  </definedNames>
  <calcPr calcId="162913"/>
</workbook>
</file>

<file path=xl/calcChain.xml><?xml version="1.0" encoding="utf-8"?>
<calcChain xmlns="http://schemas.openxmlformats.org/spreadsheetml/2006/main">
  <c r="B25" i="1" l="1"/>
  <c r="B55" i="1"/>
  <c r="B56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23" i="1"/>
  <c r="B24" i="1"/>
  <c r="B12" i="1"/>
  <c r="B13" i="1"/>
  <c r="B14" i="1"/>
  <c r="B15" i="1"/>
  <c r="B16" i="1"/>
  <c r="B17" i="1"/>
  <c r="B18" i="1"/>
  <c r="B19" i="1"/>
  <c r="B20" i="1"/>
  <c r="B21" i="1"/>
  <c r="B22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<sst xmlns="http://schemas.openxmlformats.org/spreadsheetml/2006/main" count="514" uniqueCount="179">
  <si>
    <t>序号</t>
  </si>
  <si>
    <t>整理日期</t>
  </si>
  <si>
    <t>采集编码（不用填写）</t>
  </si>
  <si>
    <t>采集名称（不用填写）</t>
  </si>
  <si>
    <t>资源目录</t>
  </si>
  <si>
    <t>主题域</t>
  </si>
  <si>
    <t>数仓层级</t>
  </si>
  <si>
    <t>数据密级</t>
  </si>
  <si>
    <t>数据源类型</t>
  </si>
  <si>
    <t>数据源</t>
  </si>
  <si>
    <t>采集方式</t>
  </si>
  <si>
    <t>表名（doris）</t>
  </si>
  <si>
    <t>资产名称</t>
  </si>
  <si>
    <t>资产目录</t>
  </si>
  <si>
    <t>表的用途</t>
  </si>
  <si>
    <t>业务单位</t>
  </si>
  <si>
    <t>业务单位责任人</t>
  </si>
  <si>
    <t>运维人员</t>
  </si>
  <si>
    <t>更新频率</t>
  </si>
  <si>
    <t>是否已转换成资产（不用填写）</t>
  </si>
  <si>
    <t>备注</t>
  </si>
  <si>
    <t>示例：</t>
  </si>
  <si>
    <t>2024.11.04</t>
  </si>
  <si>
    <t>DM_DORIS_ODS_MES_TABLE_01</t>
  </si>
  <si>
    <t>DORIS ODS层(生产域)采集任务</t>
  </si>
  <si>
    <t>MES</t>
  </si>
  <si>
    <t>生产</t>
  </si>
  <si>
    <t>ODS</t>
  </si>
  <si>
    <t>L3(内部公开)</t>
  </si>
  <si>
    <t>Doris</t>
  </si>
  <si>
    <t>DM_DORIS_BI</t>
  </si>
  <si>
    <t>指定表</t>
  </si>
  <si>
    <t>ods_mes_p_sn_travel</t>
  </si>
  <si>
    <t>在制品管制表(SN过站记录)</t>
  </si>
  <si>
    <t>DORIS数仓/贴源层/生产</t>
  </si>
  <si>
    <t>***</t>
  </si>
  <si>
    <t>蒋安星</t>
  </si>
  <si>
    <t>1次/15min</t>
  </si>
  <si>
    <t>是</t>
  </si>
  <si>
    <t>2024.11.05</t>
  </si>
  <si>
    <t>DW_HIVE_ODS_SAP_TABLE_01</t>
  </si>
  <si>
    <t>HIVE ODS层(采购域)采集任务</t>
  </si>
  <si>
    <t>SAP</t>
  </si>
  <si>
    <t>采购</t>
  </si>
  <si>
    <t>HIVE2</t>
  </si>
  <si>
    <t>ods_s4_zcvmmv_pur_data</t>
  </si>
  <si>
    <t>采购明细表（含未交）</t>
  </si>
  <si>
    <t>HIVE数仓/贴源层/采购</t>
  </si>
  <si>
    <t>刘春秀/王丽</t>
  </si>
  <si>
    <t>袁泓磊</t>
  </si>
  <si>
    <t>1次/1h</t>
  </si>
  <si>
    <t>已下线</t>
  </si>
  <si>
    <t>无HIVE数仓，需同步</t>
  </si>
  <si>
    <t>DM_DORIS_ODS_SAP_TABLE_01</t>
  </si>
  <si>
    <t>DORIS ODS层(采购域)采集任务</t>
  </si>
  <si>
    <t>ods_sap_zcvmm_lfa1_gys</t>
  </si>
  <si>
    <t>供应商集团层级视图</t>
  </si>
  <si>
    <t>DORIS数仓/贴源层/采购</t>
  </si>
  <si>
    <t>2024.11.06</t>
  </si>
  <si>
    <t>DM_DORIS_DM_WMS_TABLE_01</t>
  </si>
  <si>
    <t>DORIS DM层(仓储域)采集任务</t>
  </si>
  <si>
    <t>WMS</t>
  </si>
  <si>
    <t>仓储</t>
  </si>
  <si>
    <t>DM</t>
  </si>
  <si>
    <t>dm_wms_fghold_car</t>
  </si>
  <si>
    <t>仓库HOLD车辆影响数量</t>
  </si>
  <si>
    <t>DORIS数仓/应用层/仓储</t>
  </si>
  <si>
    <t>徐锦贤</t>
  </si>
  <si>
    <t>柳坤</t>
  </si>
  <si>
    <t>1次/30min</t>
  </si>
  <si>
    <t>dm_wms_fghold_department_hold</t>
  </si>
  <si>
    <t>数据监控报表</t>
  </si>
  <si>
    <t>dm_wms_fghold_issue_type</t>
  </si>
  <si>
    <t>HOLD周期</t>
  </si>
  <si>
    <t>dm_wms_fghold_period_hold</t>
  </si>
  <si>
    <t>HOLD周期 by机种</t>
  </si>
  <si>
    <t>资产名称重复，已解决</t>
  </si>
  <si>
    <t>dm_wms_fghold_region_hold</t>
  </si>
  <si>
    <t>HOLD地区分布</t>
  </si>
  <si>
    <t>dm_wms_fghold_top_issue_type</t>
  </si>
  <si>
    <t>HOLD周期 异常类型</t>
  </si>
  <si>
    <t>dm_wms_fghold_warehouse_hold</t>
  </si>
  <si>
    <t>仓库HOLD分布和受影响数量</t>
  </si>
  <si>
    <t>2024.11.07</t>
  </si>
  <si>
    <t>ods_bi_sap_t_ztpp_calendar</t>
  </si>
  <si>
    <t>SAP Calendar行事历</t>
  </si>
  <si>
    <t>4点/天</t>
  </si>
  <si>
    <t>PG/HIVE/DORIS中均有，源在PG</t>
  </si>
  <si>
    <t>ods_sap_zcvmm_lfm1_sql</t>
  </si>
  <si>
    <t>供应商主数据-采购组织</t>
  </si>
  <si>
    <t>0点/天</t>
  </si>
  <si>
    <t>取消</t>
  </si>
  <si>
    <t>需同步</t>
  </si>
  <si>
    <t>DM_DORIS_ODS_OA_TABLE_01</t>
  </si>
  <si>
    <t>DORIS ODS层(行政域)采集任务</t>
  </si>
  <si>
    <t>OA</t>
  </si>
  <si>
    <t>行政</t>
  </si>
  <si>
    <t>ods_oa_v_database_it009</t>
  </si>
  <si>
    <t>OA IT流程单</t>
  </si>
  <si>
    <t>DORIS数仓/贴源层/行政</t>
  </si>
  <si>
    <t>1次/1h，每小时第10分钟整</t>
  </si>
  <si>
    <t>ods_oa_v_database_it009_log</t>
  </si>
  <si>
    <t xml:space="preserve">OA IT流程单 LOG </t>
  </si>
  <si>
    <t>ods_oa_wv_formtable_main_810</t>
  </si>
  <si>
    <t>OA 签核中的请购单</t>
  </si>
  <si>
    <t>8点、14点/天</t>
  </si>
  <si>
    <t>DM_DORIS_ODS_EMS_TABLE_01</t>
  </si>
  <si>
    <t>DORIS ODS层(资产域)采集任务</t>
  </si>
  <si>
    <t>EMS</t>
  </si>
  <si>
    <t>资产</t>
  </si>
  <si>
    <t>ods_ems_p_asset</t>
  </si>
  <si>
    <t>资产库存表</t>
  </si>
  <si>
    <t>DORIS数仓/贴源层/资产</t>
  </si>
  <si>
    <t>蔡文雪</t>
  </si>
  <si>
    <t>DM_DORIS_DWS_SAP_TABLE_01</t>
  </si>
  <si>
    <t>DORIS DWS层(采购域)采集任务</t>
  </si>
  <si>
    <t>DWS</t>
  </si>
  <si>
    <t>dws_bi_ppv_raw_gr_list</t>
  </si>
  <si>
    <t>原材GR List</t>
  </si>
  <si>
    <t>DORIS数仓/轻度汇总层/采购</t>
  </si>
  <si>
    <t>1次/月</t>
  </si>
  <si>
    <t>dws_bi_ppv_raw_inventory_onhand</t>
  </si>
  <si>
    <t>原材料库存值 </t>
  </si>
  <si>
    <t xml:space="preserve">原材料库存值 </t>
  </si>
  <si>
    <t>dws_bi_ppv_raw_bdt_target</t>
  </si>
  <si>
    <t>原材料BDT目标</t>
  </si>
  <si>
    <t>DM_DORIS_DWS_RD_TABLE_01</t>
  </si>
  <si>
    <t>DORIS DWS层(研发域)采集任务</t>
  </si>
  <si>
    <t>研发</t>
  </si>
  <si>
    <t>dws_bi_ppv_raw_bom_usage</t>
  </si>
  <si>
    <t>原材料在BOM中单位用量</t>
  </si>
  <si>
    <t>DORIS数仓/轻度汇总层/研发</t>
  </si>
  <si>
    <t>原材料使用量</t>
  </si>
  <si>
    <t>研发工程</t>
  </si>
  <si>
    <t>杨清杰</t>
  </si>
  <si>
    <t>DM_DORIS_DWD_RD_TABLE_01</t>
  </si>
  <si>
    <t>DORIS DWD层(研发域)采集任务</t>
  </si>
  <si>
    <t>DWD</t>
  </si>
  <si>
    <t>dwd_s4_ztplm0037_bom_ppv</t>
  </si>
  <si>
    <t>原材料在BOM中用量明细</t>
  </si>
  <si>
    <t>DORIS数仓/明细数据层/研发</t>
  </si>
  <si>
    <t>原材料在BOM中使用明累</t>
  </si>
  <si>
    <t>2024.11.08</t>
  </si>
  <si>
    <t>DM_DORIS_ODS_QMS_TABLE_01</t>
  </si>
  <si>
    <t>DORIS ODS层(质量域)采集任务</t>
  </si>
  <si>
    <t>QMS</t>
  </si>
  <si>
    <t>质量</t>
  </si>
  <si>
    <t>ods_qms_iqc_report_inspectionrpt</t>
  </si>
  <si>
    <t>汇总做报表数据</t>
  </si>
  <si>
    <t>DORIS数仓/贴源层/质量</t>
  </si>
  <si>
    <t>陆雪道</t>
  </si>
  <si>
    <t>黄秉宇</t>
  </si>
  <si>
    <t>1次/20min</t>
  </si>
  <si>
    <t>ods_qms_iqc_sipinfo</t>
  </si>
  <si>
    <t>SIP信息</t>
  </si>
  <si>
    <t>2点,9点/天</t>
  </si>
  <si>
    <t>DM_DORIS_DWD_HRMS_TABLE_01</t>
  </si>
  <si>
    <t>DORIS DWD层(人力域)采集任务</t>
  </si>
  <si>
    <t>HRMS</t>
  </si>
  <si>
    <t>人力</t>
  </si>
  <si>
    <t>L2(秘密)</t>
  </si>
  <si>
    <t>dwd_hr_att_attendance_daily_report</t>
  </si>
  <si>
    <t>HR出勤日报表</t>
  </si>
  <si>
    <t>DORIS数仓/轻度汇总层/人力</t>
  </si>
  <si>
    <t>HR每日出勤</t>
  </si>
  <si>
    <t>刘婉</t>
  </si>
  <si>
    <t>韩庆飞</t>
  </si>
  <si>
    <t>1次/10min</t>
  </si>
  <si>
    <t>ods_ems_cm_consume_price</t>
  </si>
  <si>
    <t>资产云单台机种耗材实际</t>
  </si>
  <si>
    <t>3点/天</t>
  </si>
  <si>
    <t>DM_DORIS_DIM_HRMS_TABLE_01</t>
  </si>
  <si>
    <t>DORIS DIM层(人力域)采集任务</t>
  </si>
  <si>
    <t>DIM</t>
  </si>
  <si>
    <t>L1(绝密)</t>
  </si>
  <si>
    <t>dim_hr_p_post_dm_emp_zzjg</t>
  </si>
  <si>
    <t>人员组织信息表</t>
  </si>
  <si>
    <t>DORIS数仓/应用层/人力</t>
  </si>
  <si>
    <t>袁春华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</si>
</sst>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tabSelected="1" topLeftCell="P1" workbookViewId="0">
      <pane ySplit="1" topLeftCell="A8" activePane="bottomLeft" state="frozen"/>
      <selection pane="bottomLeft" activeCell="U27" sqref="U27"/>
    </sheetView>
  </sheetViews>
  <sheetFormatPr defaultColWidth="9" defaultRowHeight="15.75" customHeight="1" x14ac:dyDescent="0.3"/>
  <cols>
    <col min="1" max="1" width="9" style="4"/>
    <col min="2" max="2" width="7.58203125" style="4" customWidth="1"/>
    <col min="3" max="3" width="11" style="4" customWidth="1"/>
    <col min="4" max="4" width="28.25" style="4" customWidth="1"/>
    <col min="5" max="5" width="35.33203125" style="4" customWidth="1"/>
    <col min="6" max="6" width="18.58203125" style="4" customWidth="1"/>
    <col min="7" max="8" width="9" style="4"/>
    <col min="9" max="9" width="12.33203125" style="4" customWidth="1"/>
    <col min="10" max="10" width="16.08203125" style="4" customWidth="1"/>
    <col min="11" max="11" width="12.25" style="4" customWidth="1"/>
    <col min="12" max="12" width="9" style="4"/>
    <col min="13" max="13" width="38.33203125" style="4" bestFit="1" customWidth="1"/>
    <col min="14" max="14" width="24.83203125" style="4" customWidth="1"/>
    <col min="15" max="15" width="27.08203125" style="4" bestFit="1" customWidth="1"/>
    <col min="16" max="16" width="23.5" style="4" customWidth="1"/>
    <col min="17" max="17" width="9.83203125" style="4" bestFit="1" customWidth="1"/>
    <col min="18" max="18" width="16.25" style="4" bestFit="1" customWidth="1"/>
    <col min="19" max="19" width="9" style="4"/>
    <col min="20" max="20" width="25.08203125" style="4" customWidth="1"/>
    <col min="21" max="21" width="27.5" style="4" customWidth="1"/>
    <col min="22" max="22" width="26.83203125" style="4" customWidth="1"/>
    <col min="23" max="16384" width="9" style="4"/>
  </cols>
  <sheetData>
    <row r="1" spans="1:22" ht="15.7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s="6" customFormat="1" ht="15.75" customHeight="1" x14ac:dyDescent="0.3">
      <c r="A2" s="3" t="s">
        <v>21</v>
      </c>
      <c r="B2" s="3">
        <f>ROW()-1</f>
        <v>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33</v>
      </c>
      <c r="Q2" s="3" t="s">
        <v>26</v>
      </c>
      <c r="R2" s="3" t="s">
        <v>35</v>
      </c>
      <c r="S2" s="3" t="s">
        <v>36</v>
      </c>
      <c r="T2" s="3" t="s">
        <v>37</v>
      </c>
      <c r="U2" s="3" t="s">
        <v>38</v>
      </c>
      <c r="V2" s="3"/>
    </row>
    <row r="3" spans="1:22" s="7" customFormat="1" ht="15.75" customHeight="1" x14ac:dyDescent="0.3">
      <c r="A3" s="6"/>
      <c r="B3" s="7">
        <f t="shared" ref="B3:B56" si="0">ROW()-1</f>
        <v>2</v>
      </c>
      <c r="C3" s="7" t="s">
        <v>39</v>
      </c>
      <c r="D3" s="7" t="s">
        <v>40</v>
      </c>
      <c r="E3" s="7" t="s">
        <v>41</v>
      </c>
      <c r="F3" s="7" t="s">
        <v>42</v>
      </c>
      <c r="G3" s="7" t="s">
        <v>43</v>
      </c>
      <c r="H3" s="7" t="s">
        <v>27</v>
      </c>
      <c r="I3" s="7" t="s">
        <v>28</v>
      </c>
      <c r="J3" s="7" t="s">
        <v>44</v>
      </c>
      <c r="K3" s="7" t="s">
        <v>44</v>
      </c>
      <c r="L3" s="7" t="s">
        <v>31</v>
      </c>
      <c r="M3" s="7" t="s">
        <v>45</v>
      </c>
      <c r="N3" s="7" t="s">
        <v>46</v>
      </c>
      <c r="O3" s="7" t="s">
        <v>47</v>
      </c>
      <c r="P3" s="7" t="s">
        <v>46</v>
      </c>
      <c r="Q3" s="7" t="s">
        <v>43</v>
      </c>
      <c r="R3" s="7" t="s">
        <v>48</v>
      </c>
      <c r="S3" s="7" t="s">
        <v>49</v>
      </c>
      <c r="T3" s="7" t="s">
        <v>50</v>
      </c>
      <c r="U3" s="7" t="s">
        <v>51</v>
      </c>
      <c r="V3" s="7" t="s">
        <v>52</v>
      </c>
    </row>
    <row r="4" spans="1:22" ht="15.75" customHeight="1" x14ac:dyDescent="0.3">
      <c r="A4" s="6"/>
      <c r="B4" s="6">
        <f t="shared" si="0"/>
        <v>3</v>
      </c>
      <c r="C4" s="4" t="s">
        <v>39</v>
      </c>
      <c r="D4" s="3" t="s">
        <v>53</v>
      </c>
      <c r="E4" s="3" t="s">
        <v>54</v>
      </c>
      <c r="F4" s="4" t="s">
        <v>42</v>
      </c>
      <c r="G4" s="4" t="s">
        <v>43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55</v>
      </c>
      <c r="N4" s="4" t="s">
        <v>56</v>
      </c>
      <c r="O4" s="4" t="s">
        <v>57</v>
      </c>
      <c r="P4" s="4" t="s">
        <v>56</v>
      </c>
      <c r="Q4" s="4" t="s">
        <v>43</v>
      </c>
      <c r="R4" s="4" t="s">
        <v>48</v>
      </c>
      <c r="S4" s="4" t="s">
        <v>49</v>
      </c>
      <c r="T4" s="4" t="s">
        <v>50</v>
      </c>
      <c r="U4" s="4" t="s">
        <v>38</v>
      </c>
    </row>
    <row r="5" spans="1:22" ht="15.75" customHeight="1" x14ac:dyDescent="0.3">
      <c r="A5" s="6"/>
      <c r="B5" s="6">
        <f t="shared" si="0"/>
        <v>4</v>
      </c>
      <c r="C5" s="4" t="s">
        <v>58</v>
      </c>
      <c r="D5" s="3" t="s">
        <v>59</v>
      </c>
      <c r="E5" s="3" t="s">
        <v>60</v>
      </c>
      <c r="F5" s="4" t="s">
        <v>61</v>
      </c>
      <c r="G5" s="4" t="s">
        <v>62</v>
      </c>
      <c r="H5" s="4" t="s">
        <v>63</v>
      </c>
      <c r="I5" s="4" t="s">
        <v>28</v>
      </c>
      <c r="J5" s="4" t="s">
        <v>29</v>
      </c>
      <c r="K5" s="4" t="s">
        <v>30</v>
      </c>
      <c r="L5" s="4" t="s">
        <v>31</v>
      </c>
      <c r="M5" s="4" t="s">
        <v>64</v>
      </c>
      <c r="N5" s="4" t="s">
        <v>65</v>
      </c>
      <c r="O5" s="4" t="s">
        <v>66</v>
      </c>
      <c r="P5" s="4" t="s">
        <v>65</v>
      </c>
      <c r="Q5" s="4" t="s">
        <v>62</v>
      </c>
      <c r="R5" s="4" t="s">
        <v>67</v>
      </c>
      <c r="S5" s="4" t="s">
        <v>68</v>
      </c>
      <c r="T5" s="4" t="s">
        <v>69</v>
      </c>
      <c r="U5" s="4" t="s">
        <v>38</v>
      </c>
    </row>
    <row r="6" spans="1:22" ht="15.75" customHeight="1" x14ac:dyDescent="0.3">
      <c r="A6" s="6"/>
      <c r="B6" s="6">
        <f t="shared" si="0"/>
        <v>5</v>
      </c>
      <c r="C6" s="4" t="s">
        <v>58</v>
      </c>
      <c r="D6" s="3" t="s">
        <v>59</v>
      </c>
      <c r="E6" s="3" t="s">
        <v>60</v>
      </c>
      <c r="F6" s="4" t="s">
        <v>61</v>
      </c>
      <c r="G6" s="4" t="s">
        <v>62</v>
      </c>
      <c r="H6" s="4" t="s">
        <v>63</v>
      </c>
      <c r="I6" s="4" t="s">
        <v>28</v>
      </c>
      <c r="J6" s="4" t="s">
        <v>29</v>
      </c>
      <c r="K6" s="4" t="s">
        <v>30</v>
      </c>
      <c r="L6" s="4" t="s">
        <v>31</v>
      </c>
      <c r="M6" s="4" t="s">
        <v>70</v>
      </c>
      <c r="N6" s="4" t="s">
        <v>71</v>
      </c>
      <c r="O6" s="4" t="s">
        <v>66</v>
      </c>
      <c r="P6" s="4" t="s">
        <v>71</v>
      </c>
      <c r="Q6" s="4" t="s">
        <v>62</v>
      </c>
      <c r="R6" s="4" t="s">
        <v>67</v>
      </c>
      <c r="S6" s="4" t="s">
        <v>68</v>
      </c>
      <c r="T6" s="4" t="s">
        <v>69</v>
      </c>
      <c r="U6" s="4" t="s">
        <v>38</v>
      </c>
    </row>
    <row r="7" spans="1:22" ht="15.75" customHeight="1" x14ac:dyDescent="0.3">
      <c r="A7" s="6"/>
      <c r="B7" s="6">
        <f t="shared" si="0"/>
        <v>6</v>
      </c>
      <c r="C7" s="4" t="s">
        <v>58</v>
      </c>
      <c r="D7" s="3" t="s">
        <v>59</v>
      </c>
      <c r="E7" s="3" t="s">
        <v>60</v>
      </c>
      <c r="F7" s="4" t="s">
        <v>61</v>
      </c>
      <c r="G7" s="4" t="s">
        <v>62</v>
      </c>
      <c r="H7" s="4" t="s">
        <v>63</v>
      </c>
      <c r="I7" s="4" t="s">
        <v>28</v>
      </c>
      <c r="J7" s="4" t="s">
        <v>29</v>
      </c>
      <c r="K7" s="4" t="s">
        <v>30</v>
      </c>
      <c r="L7" s="4" t="s">
        <v>31</v>
      </c>
      <c r="M7" s="6" t="s">
        <v>72</v>
      </c>
      <c r="N7" s="4" t="s">
        <v>73</v>
      </c>
      <c r="O7" s="4" t="s">
        <v>66</v>
      </c>
      <c r="P7" s="4" t="s">
        <v>73</v>
      </c>
      <c r="Q7" s="4" t="s">
        <v>62</v>
      </c>
      <c r="R7" s="4" t="s">
        <v>67</v>
      </c>
      <c r="S7" s="4" t="s">
        <v>68</v>
      </c>
      <c r="T7" s="4" t="s">
        <v>69</v>
      </c>
      <c r="U7" s="4" t="s">
        <v>38</v>
      </c>
    </row>
    <row r="8" spans="1:22" ht="15.75" customHeight="1" x14ac:dyDescent="0.3">
      <c r="A8" s="6"/>
      <c r="B8" s="6">
        <f t="shared" si="0"/>
        <v>7</v>
      </c>
      <c r="C8" s="4" t="s">
        <v>58</v>
      </c>
      <c r="D8" s="3" t="s">
        <v>59</v>
      </c>
      <c r="E8" s="3" t="s">
        <v>60</v>
      </c>
      <c r="F8" s="4" t="s">
        <v>61</v>
      </c>
      <c r="G8" s="4" t="s">
        <v>62</v>
      </c>
      <c r="H8" s="4" t="s">
        <v>63</v>
      </c>
      <c r="I8" s="4" t="s">
        <v>28</v>
      </c>
      <c r="J8" s="4" t="s">
        <v>29</v>
      </c>
      <c r="K8" s="4" t="s">
        <v>30</v>
      </c>
      <c r="L8" s="4" t="s">
        <v>31</v>
      </c>
      <c r="M8" s="6" t="s">
        <v>74</v>
      </c>
      <c r="N8" s="4" t="s">
        <v>75</v>
      </c>
      <c r="O8" s="4" t="s">
        <v>66</v>
      </c>
      <c r="P8" s="4" t="s">
        <v>73</v>
      </c>
      <c r="Q8" s="4" t="s">
        <v>62</v>
      </c>
      <c r="R8" s="4" t="s">
        <v>67</v>
      </c>
      <c r="S8" s="4" t="s">
        <v>68</v>
      </c>
      <c r="T8" s="4" t="s">
        <v>69</v>
      </c>
      <c r="U8" s="4" t="s">
        <v>38</v>
      </c>
      <c r="V8" s="4" t="s">
        <v>76</v>
      </c>
    </row>
    <row r="9" spans="1:22" ht="15.75" customHeight="1" x14ac:dyDescent="0.3">
      <c r="A9" s="6"/>
      <c r="B9" s="6">
        <f t="shared" si="0"/>
        <v>8</v>
      </c>
      <c r="C9" s="4" t="s">
        <v>58</v>
      </c>
      <c r="D9" s="3" t="s">
        <v>59</v>
      </c>
      <c r="E9" s="3" t="s">
        <v>60</v>
      </c>
      <c r="F9" s="4" t="s">
        <v>61</v>
      </c>
      <c r="G9" s="4" t="s">
        <v>62</v>
      </c>
      <c r="H9" s="4" t="s">
        <v>63</v>
      </c>
      <c r="I9" s="4" t="s">
        <v>28</v>
      </c>
      <c r="J9" s="4" t="s">
        <v>29</v>
      </c>
      <c r="K9" s="4" t="s">
        <v>30</v>
      </c>
      <c r="L9" s="4" t="s">
        <v>31</v>
      </c>
      <c r="M9" s="6" t="s">
        <v>77</v>
      </c>
      <c r="N9" s="4" t="s">
        <v>78</v>
      </c>
      <c r="O9" s="4" t="s">
        <v>66</v>
      </c>
      <c r="P9" s="4" t="s">
        <v>78</v>
      </c>
      <c r="Q9" s="4" t="s">
        <v>62</v>
      </c>
      <c r="R9" s="4" t="s">
        <v>67</v>
      </c>
      <c r="S9" s="4" t="s">
        <v>68</v>
      </c>
      <c r="T9" s="4" t="s">
        <v>69</v>
      </c>
      <c r="U9" s="4" t="s">
        <v>38</v>
      </c>
    </row>
    <row r="10" spans="1:22" ht="15.75" customHeight="1" x14ac:dyDescent="0.3">
      <c r="A10" s="6"/>
      <c r="B10" s="6">
        <f t="shared" si="0"/>
        <v>9</v>
      </c>
      <c r="C10" s="4" t="s">
        <v>58</v>
      </c>
      <c r="D10" s="3" t="s">
        <v>59</v>
      </c>
      <c r="E10" s="3" t="s">
        <v>60</v>
      </c>
      <c r="F10" s="4" t="s">
        <v>61</v>
      </c>
      <c r="G10" s="4" t="s">
        <v>62</v>
      </c>
      <c r="H10" s="4" t="s">
        <v>63</v>
      </c>
      <c r="I10" s="4" t="s">
        <v>28</v>
      </c>
      <c r="J10" s="4" t="s">
        <v>29</v>
      </c>
      <c r="K10" s="4" t="s">
        <v>30</v>
      </c>
      <c r="L10" s="4" t="s">
        <v>31</v>
      </c>
      <c r="M10" s="6" t="s">
        <v>79</v>
      </c>
      <c r="N10" s="5" t="s">
        <v>80</v>
      </c>
      <c r="O10" s="4" t="s">
        <v>66</v>
      </c>
      <c r="P10" s="4" t="s">
        <v>73</v>
      </c>
      <c r="Q10" s="4" t="s">
        <v>62</v>
      </c>
      <c r="R10" s="4" t="s">
        <v>67</v>
      </c>
      <c r="S10" s="4" t="s">
        <v>68</v>
      </c>
      <c r="T10" s="4" t="s">
        <v>69</v>
      </c>
      <c r="U10" s="4" t="s">
        <v>38</v>
      </c>
      <c r="V10" s="4" t="s">
        <v>76</v>
      </c>
    </row>
    <row r="11" spans="1:22" ht="15.75" customHeight="1" x14ac:dyDescent="0.3">
      <c r="A11" s="6"/>
      <c r="B11" s="6">
        <f t="shared" si="0"/>
        <v>10</v>
      </c>
      <c r="C11" s="4" t="s">
        <v>58</v>
      </c>
      <c r="D11" s="3" t="s">
        <v>59</v>
      </c>
      <c r="E11" s="3" t="s">
        <v>60</v>
      </c>
      <c r="F11" s="4" t="s">
        <v>61</v>
      </c>
      <c r="G11" s="4" t="s">
        <v>62</v>
      </c>
      <c r="H11" s="4" t="s">
        <v>63</v>
      </c>
      <c r="I11" s="4" t="s">
        <v>28</v>
      </c>
      <c r="J11" s="4" t="s">
        <v>29</v>
      </c>
      <c r="K11" s="4" t="s">
        <v>30</v>
      </c>
      <c r="L11" s="4" t="s">
        <v>31</v>
      </c>
      <c r="M11" s="6" t="s">
        <v>81</v>
      </c>
      <c r="N11" s="4" t="s">
        <v>82</v>
      </c>
      <c r="O11" s="4" t="s">
        <v>66</v>
      </c>
      <c r="P11" s="4" t="s">
        <v>82</v>
      </c>
      <c r="Q11" s="4" t="s">
        <v>62</v>
      </c>
      <c r="R11" s="4" t="s">
        <v>67</v>
      </c>
      <c r="S11" s="4" t="s">
        <v>68</v>
      </c>
      <c r="T11" s="4" t="s">
        <v>69</v>
      </c>
      <c r="U11" s="4" t="s">
        <v>38</v>
      </c>
    </row>
    <row r="12" spans="1:22" s="6" customFormat="1" ht="15.75" customHeight="1" x14ac:dyDescent="0.3">
      <c r="B12" s="6">
        <f t="shared" si="0"/>
        <v>11</v>
      </c>
      <c r="C12" s="6" t="s">
        <v>83</v>
      </c>
      <c r="D12" s="3" t="s">
        <v>53</v>
      </c>
      <c r="E12" s="3" t="s">
        <v>54</v>
      </c>
      <c r="F12" s="6" t="s">
        <v>42</v>
      </c>
      <c r="G12" s="6" t="s">
        <v>43</v>
      </c>
      <c r="H12" s="6" t="s">
        <v>27</v>
      </c>
      <c r="I12" s="6" t="s">
        <v>28</v>
      </c>
      <c r="J12" s="6" t="s">
        <v>29</v>
      </c>
      <c r="K12" s="6" t="s">
        <v>30</v>
      </c>
      <c r="L12" s="6" t="s">
        <v>31</v>
      </c>
      <c r="M12" s="6" t="s">
        <v>84</v>
      </c>
      <c r="N12" s="6" t="s">
        <v>85</v>
      </c>
      <c r="O12" s="6" t="s">
        <v>57</v>
      </c>
      <c r="P12" s="6" t="s">
        <v>85</v>
      </c>
      <c r="Q12" s="6" t="s">
        <v>43</v>
      </c>
      <c r="R12" s="6" t="s">
        <v>48</v>
      </c>
      <c r="S12" s="6" t="s">
        <v>49</v>
      </c>
      <c r="T12" s="6" t="s">
        <v>86</v>
      </c>
      <c r="U12" s="6" t="s">
        <v>38</v>
      </c>
      <c r="V12" s="6" t="s">
        <v>87</v>
      </c>
    </row>
    <row r="13" spans="1:22" s="7" customFormat="1" ht="15.75" customHeight="1" x14ac:dyDescent="0.3">
      <c r="A13" s="6"/>
      <c r="B13" s="7">
        <f t="shared" si="0"/>
        <v>12</v>
      </c>
      <c r="C13" s="7" t="s">
        <v>83</v>
      </c>
      <c r="D13" s="7" t="s">
        <v>40</v>
      </c>
      <c r="E13" s="7" t="s">
        <v>41</v>
      </c>
      <c r="F13" s="7" t="s">
        <v>42</v>
      </c>
      <c r="G13" s="7" t="s">
        <v>43</v>
      </c>
      <c r="H13" s="7" t="s">
        <v>27</v>
      </c>
      <c r="I13" s="7" t="s">
        <v>28</v>
      </c>
      <c r="J13" s="7" t="s">
        <v>44</v>
      </c>
      <c r="K13" s="7" t="s">
        <v>44</v>
      </c>
      <c r="L13" s="7" t="s">
        <v>31</v>
      </c>
      <c r="M13" s="7" t="s">
        <v>88</v>
      </c>
      <c r="N13" s="7" t="s">
        <v>89</v>
      </c>
      <c r="O13" s="7" t="s">
        <v>47</v>
      </c>
      <c r="P13" s="7" t="s">
        <v>89</v>
      </c>
      <c r="Q13" s="7" t="s">
        <v>43</v>
      </c>
      <c r="R13" s="7" t="s">
        <v>48</v>
      </c>
      <c r="S13" s="7" t="s">
        <v>49</v>
      </c>
      <c r="T13" s="7" t="s">
        <v>90</v>
      </c>
      <c r="U13" s="7" t="s">
        <v>91</v>
      </c>
      <c r="V13" s="7" t="s">
        <v>92</v>
      </c>
    </row>
    <row r="14" spans="1:22" s="6" customFormat="1" ht="15.75" customHeight="1" x14ac:dyDescent="0.3">
      <c r="B14" s="6">
        <f t="shared" si="0"/>
        <v>13</v>
      </c>
      <c r="C14" s="6" t="s">
        <v>83</v>
      </c>
      <c r="D14" s="3" t="s">
        <v>93</v>
      </c>
      <c r="E14" s="3" t="s">
        <v>94</v>
      </c>
      <c r="F14" s="6" t="s">
        <v>95</v>
      </c>
      <c r="G14" s="6" t="s">
        <v>96</v>
      </c>
      <c r="H14" s="6" t="s">
        <v>27</v>
      </c>
      <c r="I14" s="6" t="s">
        <v>28</v>
      </c>
      <c r="J14" s="6" t="s">
        <v>29</v>
      </c>
      <c r="K14" s="6" t="s">
        <v>30</v>
      </c>
      <c r="L14" s="6" t="s">
        <v>31</v>
      </c>
      <c r="M14" s="6" t="s">
        <v>97</v>
      </c>
      <c r="N14" s="6" t="s">
        <v>98</v>
      </c>
      <c r="O14" s="6" t="s">
        <v>99</v>
      </c>
      <c r="P14" s="6" t="s">
        <v>98</v>
      </c>
      <c r="Q14" s="6" t="s">
        <v>96</v>
      </c>
      <c r="S14" s="6" t="s">
        <v>36</v>
      </c>
      <c r="T14" s="6" t="s">
        <v>100</v>
      </c>
      <c r="U14" s="6" t="s">
        <v>38</v>
      </c>
    </row>
    <row r="15" spans="1:22" s="6" customFormat="1" ht="15.75" customHeight="1" x14ac:dyDescent="0.3">
      <c r="B15" s="6">
        <f t="shared" si="0"/>
        <v>14</v>
      </c>
      <c r="C15" s="6" t="s">
        <v>83</v>
      </c>
      <c r="D15" s="3" t="s">
        <v>93</v>
      </c>
      <c r="E15" s="3" t="s">
        <v>94</v>
      </c>
      <c r="F15" s="6" t="s">
        <v>95</v>
      </c>
      <c r="G15" s="6" t="s">
        <v>96</v>
      </c>
      <c r="H15" s="6" t="s">
        <v>27</v>
      </c>
      <c r="I15" s="6" t="s">
        <v>28</v>
      </c>
      <c r="J15" s="6" t="s">
        <v>29</v>
      </c>
      <c r="K15" s="6" t="s">
        <v>30</v>
      </c>
      <c r="L15" s="6" t="s">
        <v>31</v>
      </c>
      <c r="M15" s="6" t="s">
        <v>101</v>
      </c>
      <c r="N15" s="6" t="s">
        <v>102</v>
      </c>
      <c r="O15" s="6" t="s">
        <v>99</v>
      </c>
      <c r="P15" s="6" t="s">
        <v>102</v>
      </c>
      <c r="Q15" s="6" t="s">
        <v>96</v>
      </c>
      <c r="S15" s="6" t="s">
        <v>36</v>
      </c>
      <c r="T15" s="6" t="s">
        <v>100</v>
      </c>
      <c r="U15" s="6" t="s">
        <v>38</v>
      </c>
    </row>
    <row r="16" spans="1:22" s="6" customFormat="1" ht="15.75" customHeight="1" x14ac:dyDescent="0.3">
      <c r="B16" s="6">
        <f t="shared" si="0"/>
        <v>15</v>
      </c>
      <c r="C16" s="6" t="s">
        <v>83</v>
      </c>
      <c r="D16" s="3" t="s">
        <v>93</v>
      </c>
      <c r="E16" s="3" t="s">
        <v>94</v>
      </c>
      <c r="F16" s="6" t="s">
        <v>95</v>
      </c>
      <c r="G16" s="6" t="s">
        <v>96</v>
      </c>
      <c r="H16" s="6" t="s">
        <v>27</v>
      </c>
      <c r="I16" s="6" t="s">
        <v>28</v>
      </c>
      <c r="J16" s="6" t="s">
        <v>29</v>
      </c>
      <c r="K16" s="6" t="s">
        <v>30</v>
      </c>
      <c r="L16" s="6" t="s">
        <v>31</v>
      </c>
      <c r="M16" s="6" t="s">
        <v>103</v>
      </c>
      <c r="N16" s="6" t="s">
        <v>104</v>
      </c>
      <c r="O16" s="6" t="s">
        <v>99</v>
      </c>
      <c r="P16" s="6" t="s">
        <v>104</v>
      </c>
      <c r="Q16" s="6" t="s">
        <v>96</v>
      </c>
      <c r="S16" s="6" t="s">
        <v>36</v>
      </c>
      <c r="T16" s="6" t="s">
        <v>105</v>
      </c>
      <c r="U16" s="6" t="s">
        <v>38</v>
      </c>
    </row>
    <row r="17" spans="2:21" s="6" customFormat="1" ht="15.75" customHeight="1" x14ac:dyDescent="0.3">
      <c r="B17" s="6">
        <f t="shared" si="0"/>
        <v>16</v>
      </c>
      <c r="C17" s="6" t="s">
        <v>83</v>
      </c>
      <c r="D17" s="3" t="s">
        <v>106</v>
      </c>
      <c r="E17" s="3" t="s">
        <v>107</v>
      </c>
      <c r="F17" s="6" t="s">
        <v>108</v>
      </c>
      <c r="G17" s="6" t="s">
        <v>109</v>
      </c>
      <c r="H17" s="6" t="s">
        <v>27</v>
      </c>
      <c r="I17" s="6" t="s">
        <v>28</v>
      </c>
      <c r="J17" s="6" t="s">
        <v>29</v>
      </c>
      <c r="K17" s="6" t="s">
        <v>30</v>
      </c>
      <c r="L17" s="6" t="s">
        <v>31</v>
      </c>
      <c r="M17" s="6" t="s">
        <v>110</v>
      </c>
      <c r="N17" s="6" t="s">
        <v>111</v>
      </c>
      <c r="O17" s="6" t="s">
        <v>112</v>
      </c>
      <c r="P17" s="6" t="s">
        <v>111</v>
      </c>
      <c r="Q17" s="6" t="s">
        <v>109</v>
      </c>
      <c r="S17" s="6" t="s">
        <v>113</v>
      </c>
      <c r="T17" s="6" t="s">
        <v>69</v>
      </c>
      <c r="U17" s="6" t="s">
        <v>38</v>
      </c>
    </row>
    <row r="18" spans="2:21" s="6" customFormat="1" ht="15.75" customHeight="1" x14ac:dyDescent="0.3">
      <c r="B18" s="6">
        <f t="shared" si="0"/>
        <v>17</v>
      </c>
      <c r="C18" s="6" t="s">
        <v>83</v>
      </c>
      <c r="D18" s="3" t="s">
        <v>114</v>
      </c>
      <c r="E18" s="3" t="s">
        <v>115</v>
      </c>
      <c r="F18" s="6" t="s">
        <v>42</v>
      </c>
      <c r="G18" s="6" t="s">
        <v>43</v>
      </c>
      <c r="H18" s="6" t="s">
        <v>116</v>
      </c>
      <c r="I18" s="6" t="s">
        <v>28</v>
      </c>
      <c r="J18" s="6" t="s">
        <v>29</v>
      </c>
      <c r="K18" s="6" t="s">
        <v>30</v>
      </c>
      <c r="L18" s="6" t="s">
        <v>31</v>
      </c>
      <c r="M18" s="6" t="s">
        <v>117</v>
      </c>
      <c r="N18" s="6" t="s">
        <v>118</v>
      </c>
      <c r="O18" s="6" t="s">
        <v>119</v>
      </c>
      <c r="P18" s="6" t="s">
        <v>118</v>
      </c>
      <c r="Q18" s="6" t="s">
        <v>43</v>
      </c>
      <c r="R18" s="6" t="s">
        <v>48</v>
      </c>
      <c r="S18" s="6" t="s">
        <v>49</v>
      </c>
      <c r="T18" s="6" t="s">
        <v>120</v>
      </c>
      <c r="U18" s="6" t="s">
        <v>38</v>
      </c>
    </row>
    <row r="19" spans="2:21" s="6" customFormat="1" ht="15.75" customHeight="1" x14ac:dyDescent="0.3">
      <c r="B19" s="6">
        <f t="shared" si="0"/>
        <v>18</v>
      </c>
      <c r="C19" s="6" t="s">
        <v>83</v>
      </c>
      <c r="D19" s="3" t="s">
        <v>114</v>
      </c>
      <c r="E19" s="3" t="s">
        <v>115</v>
      </c>
      <c r="F19" s="6" t="s">
        <v>42</v>
      </c>
      <c r="G19" s="6" t="s">
        <v>43</v>
      </c>
      <c r="H19" s="6" t="s">
        <v>116</v>
      </c>
      <c r="I19" s="6" t="s">
        <v>28</v>
      </c>
      <c r="J19" s="6" t="s">
        <v>29</v>
      </c>
      <c r="K19" s="6" t="s">
        <v>30</v>
      </c>
      <c r="L19" s="6" t="s">
        <v>31</v>
      </c>
      <c r="M19" s="6" t="s">
        <v>121</v>
      </c>
      <c r="N19" s="6" t="s">
        <v>122</v>
      </c>
      <c r="O19" s="6" t="s">
        <v>119</v>
      </c>
      <c r="P19" s="6" t="s">
        <v>123</v>
      </c>
      <c r="Q19" s="6" t="s">
        <v>43</v>
      </c>
      <c r="R19" s="6" t="s">
        <v>48</v>
      </c>
      <c r="S19" s="6" t="s">
        <v>49</v>
      </c>
      <c r="T19" s="6" t="s">
        <v>120</v>
      </c>
      <c r="U19" s="6" t="s">
        <v>38</v>
      </c>
    </row>
    <row r="20" spans="2:21" s="6" customFormat="1" ht="15.75" customHeight="1" x14ac:dyDescent="0.3">
      <c r="B20" s="6">
        <f t="shared" si="0"/>
        <v>19</v>
      </c>
      <c r="C20" s="6" t="s">
        <v>83</v>
      </c>
      <c r="D20" s="3" t="s">
        <v>114</v>
      </c>
      <c r="E20" s="3" t="s">
        <v>115</v>
      </c>
      <c r="F20" s="6" t="s">
        <v>42</v>
      </c>
      <c r="G20" s="6" t="s">
        <v>43</v>
      </c>
      <c r="H20" s="6" t="s">
        <v>116</v>
      </c>
      <c r="I20" s="6" t="s">
        <v>28</v>
      </c>
      <c r="J20" s="6" t="s">
        <v>29</v>
      </c>
      <c r="K20" s="6" t="s">
        <v>30</v>
      </c>
      <c r="L20" s="6" t="s">
        <v>31</v>
      </c>
      <c r="M20" s="6" t="s">
        <v>124</v>
      </c>
      <c r="N20" s="6" t="s">
        <v>125</v>
      </c>
      <c r="O20" s="6" t="s">
        <v>119</v>
      </c>
      <c r="P20" s="6" t="s">
        <v>125</v>
      </c>
      <c r="Q20" s="6" t="s">
        <v>43</v>
      </c>
      <c r="R20" s="6" t="s">
        <v>48</v>
      </c>
      <c r="S20" s="6" t="s">
        <v>49</v>
      </c>
      <c r="T20" s="6" t="s">
        <v>120</v>
      </c>
      <c r="U20" s="6" t="s">
        <v>38</v>
      </c>
    </row>
    <row r="21" spans="2:21" ht="15.75" customHeight="1" x14ac:dyDescent="0.3">
      <c r="B21" s="6">
        <f t="shared" si="0"/>
        <v>20</v>
      </c>
      <c r="C21" s="4" t="s">
        <v>83</v>
      </c>
      <c r="D21" s="3" t="s">
        <v>126</v>
      </c>
      <c r="E21" s="3" t="s">
        <v>127</v>
      </c>
      <c r="F21" s="4" t="s">
        <v>42</v>
      </c>
      <c r="G21" s="4" t="s">
        <v>128</v>
      </c>
      <c r="H21" s="4" t="s">
        <v>116</v>
      </c>
      <c r="I21" s="4" t="s">
        <v>28</v>
      </c>
      <c r="J21" s="4" t="s">
        <v>29</v>
      </c>
      <c r="K21" s="4" t="s">
        <v>30</v>
      </c>
      <c r="L21" s="4" t="s">
        <v>31</v>
      </c>
      <c r="M21" s="4" t="s">
        <v>129</v>
      </c>
      <c r="N21" s="4" t="s">
        <v>130</v>
      </c>
      <c r="O21" s="6" t="s">
        <v>131</v>
      </c>
      <c r="P21" s="4" t="s">
        <v>132</v>
      </c>
      <c r="Q21" s="4" t="s">
        <v>133</v>
      </c>
      <c r="S21" s="4" t="s">
        <v>134</v>
      </c>
      <c r="T21" s="4" t="s">
        <v>120</v>
      </c>
      <c r="U21" s="4" t="s">
        <v>38</v>
      </c>
    </row>
    <row r="22" spans="2:21" ht="15.75" customHeight="1" x14ac:dyDescent="0.3">
      <c r="B22" s="6">
        <f t="shared" si="0"/>
        <v>21</v>
      </c>
      <c r="C22" s="4" t="s">
        <v>83</v>
      </c>
      <c r="D22" s="3" t="s">
        <v>135</v>
      </c>
      <c r="E22" s="3" t="s">
        <v>136</v>
      </c>
      <c r="F22" s="4" t="s">
        <v>42</v>
      </c>
      <c r="G22" s="4" t="s">
        <v>128</v>
      </c>
      <c r="H22" s="4" t="s">
        <v>137</v>
      </c>
      <c r="I22" s="4" t="s">
        <v>28</v>
      </c>
      <c r="J22" s="4" t="s">
        <v>29</v>
      </c>
      <c r="K22" s="4" t="s">
        <v>30</v>
      </c>
      <c r="L22" s="4" t="s">
        <v>31</v>
      </c>
      <c r="M22" s="4" t="s">
        <v>138</v>
      </c>
      <c r="N22" s="4" t="s">
        <v>139</v>
      </c>
      <c r="O22" s="6" t="s">
        <v>140</v>
      </c>
      <c r="P22" s="4" t="s">
        <v>141</v>
      </c>
      <c r="Q22" s="4" t="s">
        <v>133</v>
      </c>
      <c r="S22" s="4" t="s">
        <v>134</v>
      </c>
      <c r="T22" s="4" t="s">
        <v>120</v>
      </c>
      <c r="U22" s="4" t="s">
        <v>38</v>
      </c>
    </row>
    <row r="23" spans="2:21" ht="15.75" customHeight="1" x14ac:dyDescent="0.3">
      <c r="B23" s="6">
        <f t="shared" si="0"/>
        <v>22</v>
      </c>
      <c r="C23" s="4" t="s">
        <v>142</v>
      </c>
      <c r="D23" s="3" t="s">
        <v>143</v>
      </c>
      <c r="E23" s="3" t="s">
        <v>144</v>
      </c>
      <c r="F23" s="4" t="s">
        <v>145</v>
      </c>
      <c r="G23" s="4" t="s">
        <v>146</v>
      </c>
      <c r="H23" s="4" t="s">
        <v>27</v>
      </c>
      <c r="I23" s="4" t="s">
        <v>28</v>
      </c>
      <c r="J23" s="4" t="s">
        <v>29</v>
      </c>
      <c r="K23" s="4" t="s">
        <v>30</v>
      </c>
      <c r="L23" s="4" t="s">
        <v>31</v>
      </c>
      <c r="M23" s="4" t="s">
        <v>147</v>
      </c>
      <c r="N23" s="4" t="s">
        <v>148</v>
      </c>
      <c r="O23" s="6" t="s">
        <v>149</v>
      </c>
      <c r="P23" s="4" t="s">
        <v>148</v>
      </c>
      <c r="Q23" s="4" t="s">
        <v>146</v>
      </c>
      <c r="R23" s="4" t="s">
        <v>150</v>
      </c>
      <c r="S23" s="4" t="s">
        <v>151</v>
      </c>
      <c r="T23" s="4" t="s">
        <v>152</v>
      </c>
      <c r="U23" s="4" t="s">
        <v>38</v>
      </c>
    </row>
    <row r="24" spans="2:21" ht="15.75" customHeight="1" x14ac:dyDescent="0.3">
      <c r="B24" s="6">
        <f t="shared" si="0"/>
        <v>23</v>
      </c>
      <c r="C24" s="4" t="s">
        <v>142</v>
      </c>
      <c r="D24" s="3" t="s">
        <v>143</v>
      </c>
      <c r="E24" s="3" t="s">
        <v>144</v>
      </c>
      <c r="F24" s="4" t="s">
        <v>145</v>
      </c>
      <c r="G24" s="4" t="s">
        <v>146</v>
      </c>
      <c r="H24" s="4" t="s">
        <v>27</v>
      </c>
      <c r="I24" s="4" t="s">
        <v>28</v>
      </c>
      <c r="J24" s="4" t="s">
        <v>29</v>
      </c>
      <c r="K24" s="4" t="s">
        <v>30</v>
      </c>
      <c r="L24" s="4" t="s">
        <v>31</v>
      </c>
      <c r="M24" s="4" t="s">
        <v>153</v>
      </c>
      <c r="N24" s="4" t="s">
        <v>154</v>
      </c>
      <c r="O24" s="6" t="s">
        <v>149</v>
      </c>
      <c r="P24" s="4" t="s">
        <v>154</v>
      </c>
      <c r="Q24" s="4" t="s">
        <v>146</v>
      </c>
      <c r="R24" s="4" t="s">
        <v>150</v>
      </c>
      <c r="S24" s="4" t="s">
        <v>151</v>
      </c>
      <c r="T24" s="6" t="s">
        <v>155</v>
      </c>
      <c r="U24" s="4" t="s">
        <v>38</v>
      </c>
    </row>
    <row r="25" spans="2:21" ht="15.75" customHeight="1" x14ac:dyDescent="0.3">
      <c r="B25" s="6">
        <f t="shared" si="0"/>
        <v>24</v>
      </c>
      <c r="C25" s="4" t="s">
        <v>142</v>
      </c>
      <c r="D25" s="3" t="s">
        <v>156</v>
      </c>
      <c r="E25" s="3" t="s">
        <v>157</v>
      </c>
      <c r="F25" s="4" t="s">
        <v>158</v>
      </c>
      <c r="G25" s="4" t="s">
        <v>159</v>
      </c>
      <c r="H25" s="4" t="s">
        <v>137</v>
      </c>
      <c r="I25" s="4" t="s">
        <v>160</v>
      </c>
      <c r="J25" s="4" t="s">
        <v>29</v>
      </c>
      <c r="K25" s="4" t="s">
        <v>30</v>
      </c>
      <c r="L25" s="4" t="s">
        <v>31</v>
      </c>
      <c r="M25" s="4" t="s">
        <v>161</v>
      </c>
      <c r="N25" s="4" t="s">
        <v>162</v>
      </c>
      <c r="O25" s="4" t="s">
        <v>163</v>
      </c>
      <c r="P25" s="4" t="s">
        <v>164</v>
      </c>
      <c r="Q25" s="4" t="s">
        <v>159</v>
      </c>
      <c r="R25" s="4" t="s">
        <v>165</v>
      </c>
      <c r="S25" s="4" t="s">
        <v>166</v>
      </c>
      <c r="T25" s="4" t="s">
        <v>167</v>
      </c>
      <c r="U25" s="4" t="s">
        <v>38</v>
      </c>
    </row>
    <row r="26" spans="2:21" ht="15.75" customHeight="1" x14ac:dyDescent="0.3">
      <c r="B26" s="6">
        <f t="shared" si="0"/>
        <v>25</v>
      </c>
      <c r="C26" s="4" t="s">
        <v>142</v>
      </c>
      <c r="D26" s="3" t="s">
        <v>106</v>
      </c>
      <c r="E26" s="3" t="s">
        <v>107</v>
      </c>
      <c r="F26" s="4" t="s">
        <v>108</v>
      </c>
      <c r="G26" s="4" t="s">
        <v>109</v>
      </c>
      <c r="H26" s="4" t="s">
        <v>27</v>
      </c>
      <c r="I26" s="4" t="s">
        <v>28</v>
      </c>
      <c r="J26" s="4" t="s">
        <v>29</v>
      </c>
      <c r="K26" s="4" t="s">
        <v>30</v>
      </c>
      <c r="L26" s="4" t="s">
        <v>31</v>
      </c>
      <c r="M26" s="4" t="s">
        <v>168</v>
      </c>
      <c r="N26" s="4" t="s">
        <v>169</v>
      </c>
      <c r="O26" s="4" t="s">
        <v>112</v>
      </c>
      <c r="P26" s="4" t="s">
        <v>169</v>
      </c>
      <c r="Q26" s="4" t="s">
        <v>109</v>
      </c>
      <c r="S26" s="4" t="s">
        <v>113</v>
      </c>
      <c r="T26" s="4" t="s">
        <v>170</v>
      </c>
      <c r="U26" s="4" t="s">
        <v>38</v>
      </c>
    </row>
    <row r="27" spans="2:21" ht="15.75" customHeight="1" x14ac:dyDescent="0.3">
      <c r="B27" s="6">
        <f t="shared" si="0"/>
        <v>26</v>
      </c>
      <c r="C27" s="4" t="s">
        <v>142</v>
      </c>
      <c r="D27" s="3" t="s">
        <v>171</v>
      </c>
      <c r="E27" s="3" t="s">
        <v>172</v>
      </c>
      <c r="F27" s="4" t="s">
        <v>158</v>
      </c>
      <c r="G27" s="4" t="s">
        <v>159</v>
      </c>
      <c r="H27" s="4" t="s">
        <v>173</v>
      </c>
      <c r="I27" s="4" t="s">
        <v>174</v>
      </c>
      <c r="J27" s="4" t="s">
        <v>29</v>
      </c>
      <c r="K27" s="4" t="s">
        <v>30</v>
      </c>
      <c r="L27" s="4" t="s">
        <v>31</v>
      </c>
      <c r="M27" s="4" t="s">
        <v>175</v>
      </c>
      <c r="N27" s="4" t="s">
        <v>176</v>
      </c>
      <c r="O27" s="4" t="s">
        <v>177</v>
      </c>
      <c r="P27" s="4" t="s">
        <v>176</v>
      </c>
      <c r="Q27" s="4" t="s">
        <v>159</v>
      </c>
      <c r="R27" s="4" t="s">
        <v>178</v>
      </c>
      <c r="S27" s="4" t="s">
        <v>166</v>
      </c>
      <c r="T27" s="4" t="s">
        <v>167</v>
      </c>
      <c r="U27" s="4" t="s">
        <v>38</v>
      </c>
    </row>
    <row r="28" spans="2:21" ht="15.75" customHeight="1" x14ac:dyDescent="0.3">
      <c r="B28" s="6">
        <f t="shared" si="0"/>
        <v>27</v>
      </c>
    </row>
    <row r="29" spans="2:21" ht="15.75" customHeight="1" x14ac:dyDescent="0.3">
      <c r="B29" s="6">
        <f t="shared" si="0"/>
        <v>28</v>
      </c>
    </row>
    <row r="30" spans="2:21" ht="15.75" customHeight="1" x14ac:dyDescent="0.3">
      <c r="B30" s="6">
        <f t="shared" si="0"/>
        <v>29</v>
      </c>
    </row>
    <row r="31" spans="2:21" ht="15.75" customHeight="1" x14ac:dyDescent="0.3">
      <c r="B31" s="6">
        <f t="shared" si="0"/>
        <v>30</v>
      </c>
    </row>
    <row r="32" spans="2:21" ht="15.75" customHeight="1" x14ac:dyDescent="0.3">
      <c r="B32" s="6">
        <f t="shared" si="0"/>
        <v>31</v>
      </c>
    </row>
    <row r="33" spans="2:2" ht="15.75" customHeight="1" x14ac:dyDescent="0.3">
      <c r="B33" s="6">
        <f t="shared" si="0"/>
        <v>32</v>
      </c>
    </row>
    <row r="34" spans="2:2" ht="15.75" customHeight="1" x14ac:dyDescent="0.3">
      <c r="B34" s="6">
        <f t="shared" si="0"/>
        <v>33</v>
      </c>
    </row>
    <row r="35" spans="2:2" ht="15.75" customHeight="1" x14ac:dyDescent="0.3">
      <c r="B35" s="6">
        <f t="shared" si="0"/>
        <v>34</v>
      </c>
    </row>
    <row r="36" spans="2:2" ht="15.75" customHeight="1" x14ac:dyDescent="0.3">
      <c r="B36" s="6">
        <f t="shared" si="0"/>
        <v>35</v>
      </c>
    </row>
    <row r="37" spans="2:2" ht="15.75" customHeight="1" x14ac:dyDescent="0.3">
      <c r="B37" s="6">
        <f t="shared" si="0"/>
        <v>36</v>
      </c>
    </row>
    <row r="38" spans="2:2" ht="15.75" customHeight="1" x14ac:dyDescent="0.3">
      <c r="B38" s="6">
        <f t="shared" si="0"/>
        <v>37</v>
      </c>
    </row>
    <row r="39" spans="2:2" ht="15.75" customHeight="1" x14ac:dyDescent="0.3">
      <c r="B39" s="6">
        <f t="shared" si="0"/>
        <v>38</v>
      </c>
    </row>
    <row r="40" spans="2:2" ht="15.75" customHeight="1" x14ac:dyDescent="0.3">
      <c r="B40" s="6">
        <f t="shared" si="0"/>
        <v>39</v>
      </c>
    </row>
    <row r="41" spans="2:2" ht="15.75" customHeight="1" x14ac:dyDescent="0.3">
      <c r="B41" s="6">
        <f t="shared" si="0"/>
        <v>40</v>
      </c>
    </row>
    <row r="42" spans="2:2" ht="15.75" customHeight="1" x14ac:dyDescent="0.3">
      <c r="B42" s="6">
        <f t="shared" si="0"/>
        <v>41</v>
      </c>
    </row>
    <row r="43" spans="2:2" ht="15.75" customHeight="1" x14ac:dyDescent="0.3">
      <c r="B43" s="6">
        <f t="shared" si="0"/>
        <v>42</v>
      </c>
    </row>
    <row r="44" spans="2:2" ht="15.75" customHeight="1" x14ac:dyDescent="0.3">
      <c r="B44" s="6">
        <f t="shared" si="0"/>
        <v>43</v>
      </c>
    </row>
    <row r="45" spans="2:2" ht="15.75" customHeight="1" x14ac:dyDescent="0.3">
      <c r="B45" s="6">
        <f t="shared" si="0"/>
        <v>44</v>
      </c>
    </row>
    <row r="46" spans="2:2" ht="15.75" customHeight="1" x14ac:dyDescent="0.3">
      <c r="B46" s="6">
        <f t="shared" si="0"/>
        <v>45</v>
      </c>
    </row>
    <row r="47" spans="2:2" ht="15.75" customHeight="1" x14ac:dyDescent="0.3">
      <c r="B47" s="6">
        <f t="shared" si="0"/>
        <v>46</v>
      </c>
    </row>
    <row r="48" spans="2:2" ht="15.75" customHeight="1" x14ac:dyDescent="0.3">
      <c r="B48" s="6">
        <f t="shared" si="0"/>
        <v>47</v>
      </c>
    </row>
    <row r="49" spans="2:2" ht="15.75" customHeight="1" x14ac:dyDescent="0.3">
      <c r="B49" s="6">
        <f t="shared" si="0"/>
        <v>48</v>
      </c>
    </row>
    <row r="50" spans="2:2" ht="15.75" customHeight="1" x14ac:dyDescent="0.3">
      <c r="B50" s="6">
        <f t="shared" si="0"/>
        <v>49</v>
      </c>
    </row>
    <row r="51" spans="2:2" ht="15.75" customHeight="1" x14ac:dyDescent="0.3">
      <c r="B51" s="6">
        <f t="shared" si="0"/>
        <v>50</v>
      </c>
    </row>
    <row r="52" spans="2:2" ht="15.75" customHeight="1" x14ac:dyDescent="0.3">
      <c r="B52" s="6">
        <f t="shared" si="0"/>
        <v>51</v>
      </c>
    </row>
    <row r="53" spans="2:2" ht="15.75" customHeight="1" x14ac:dyDescent="0.3">
      <c r="B53" s="6">
        <f t="shared" si="0"/>
        <v>52</v>
      </c>
    </row>
    <row r="54" spans="2:2" ht="15.75" customHeight="1" x14ac:dyDescent="0.3">
      <c r="B54" s="6">
        <f t="shared" si="0"/>
        <v>53</v>
      </c>
    </row>
    <row r="55" spans="2:2" ht="15.75" customHeight="1" x14ac:dyDescent="0.3">
      <c r="B55" s="6">
        <f t="shared" si="0"/>
        <v>54</v>
      </c>
    </row>
    <row r="56" spans="2:2" ht="15.75" customHeight="1" x14ac:dyDescent="0.3">
      <c r="B56" s="6">
        <f t="shared" si="0"/>
        <v>55</v>
      </c>
    </row>
  </sheetData>
  <autoFilter ref="A1:XFD56"/>
  <phoneticPr fontId="2" type="noConversion"/>
  <dataValidations count="9">
    <dataValidation type="list" allowBlank="1" showInputMessage="1" showErrorMessage="1" sqref="H2:H1048576">
      <formula1>"DM,ODS,DIM,DWS,DWD"</formula1>
    </dataValidation>
    <dataValidation type="list" allowBlank="1" showInputMessage="1" showErrorMessage="1" sqref="G2:G1048576">
      <formula1>"人力,财务,研发,采购,生产,仓储,物流,质量,销售,资产,行政,环安,设备"</formula1>
    </dataValidation>
    <dataValidation type="list" allowBlank="1" showInputMessage="1" showErrorMessage="1" sqref="I2:I1048576">
      <formula1>"L4(公开),L3(内部公开),L2(秘密),L1(绝密)"</formula1>
    </dataValidation>
    <dataValidation type="list" allowBlank="1" showInputMessage="1" showErrorMessage="1" sqref="L2:L1048576">
      <formula1>"指定库,指定表,正则表达式"</formula1>
    </dataValidation>
    <dataValidation type="list" allowBlank="1" showInputMessage="1" showErrorMessage="1" sqref="K2:K1048576">
      <formula1>"DM_DORIS_BI"</formula1>
    </dataValidation>
    <dataValidation type="list" allowBlank="1" showInputMessage="1" showErrorMessage="1" sqref="J2:J1048576">
      <formula1>"Doris"</formula1>
    </dataValidation>
    <dataValidation type="list" allowBlank="1" showInputMessage="1" showErrorMessage="1" sqref="U2:U1048576">
      <formula1>"是,否,已下线,取消"</formula1>
    </dataValidation>
    <dataValidation type="list" allowBlank="1" showInputMessage="1" showErrorMessage="1" sqref="S2:S1048576">
      <formula1>"杨清杰,韩庆飞,袁泓磊,柳坤,陈历平,黄秉宇,蒋安星,蔡文雪"</formula1>
    </dataValidation>
    <dataValidation type="list" allowBlank="1" showInputMessage="1" showErrorMessage="1" sqref="F2:F1048576">
      <formula1>"SAP,WMS,MES,PPS,OMS,EDI,IOCT,DCS,ITMS,QMS,OA,EMS,HRMS"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00BEA7EA923E9499B42A5647A299AF7" ma:contentTypeVersion="2" ma:contentTypeDescription="新建文档。" ma:contentTypeScope="" ma:versionID="65253b24a9d1361ee8a4f63f7889be82">
  <xsd:schema xmlns:xsd="http://www.w3.org/2001/XMLSchema" xmlns:xs="http://www.w3.org/2001/XMLSchema" xmlns:p="http://schemas.microsoft.com/office/2006/metadata/properties" xmlns:ns2="8f47a2c2-759a-4a89-867a-552bb23073ba" targetNamespace="http://schemas.microsoft.com/office/2006/metadata/properties" ma:root="true" ma:fieldsID="c73403e5460fad51ed2647ec601d54a3" ns2:_="">
    <xsd:import namespace="8f47a2c2-759a-4a89-867a-552bb2307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47a2c2-759a-4a89-867a-552bb23073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69DEF2-C543-445B-8870-5DD051F61B1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4A485B9-C015-4D74-9293-58757E8279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47a2c2-759a-4a89-867a-552bb2307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FBF289-22B5-4462-9769-053562F092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Anxing Jiang(蒋安星)</dc:creator>
  <cp:keywords/>
  <dc:description/>
  <cp:lastModifiedBy>Anxing Jiang(蒋安星)</cp:lastModifiedBy>
  <cp:revision/>
  <dcterms:created xsi:type="dcterms:W3CDTF">2024-11-01T06:32:03Z</dcterms:created>
  <dcterms:modified xsi:type="dcterms:W3CDTF">2024-11-08T08:34:19Z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0x010100C00BEA7EA923E9499B42A5647A299AF7</vt:lpwstr>
  </property>
</Properties>
</file>